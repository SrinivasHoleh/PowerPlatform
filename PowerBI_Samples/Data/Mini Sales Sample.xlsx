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PowerPlatform\PowerBI_Samples\Data\"/>
    </mc:Choice>
  </mc:AlternateContent>
  <bookViews>
    <workbookView xWindow="0" yWindow="0" windowWidth="23040" windowHeight="9072"/>
  </bookViews>
  <sheets>
    <sheet name="Sales" sheetId="1" r:id="rId1"/>
    <sheet name="Product" sheetId="2" r:id="rId2"/>
    <sheet name="Targ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F17" i="1" s="1"/>
  <c r="G17" i="1" s="1"/>
  <c r="E18" i="1"/>
  <c r="E19" i="1"/>
  <c r="E20" i="1"/>
  <c r="E21" i="1"/>
  <c r="F21" i="1" s="1"/>
  <c r="G21" i="1" s="1"/>
  <c r="E22" i="1"/>
  <c r="E23" i="1"/>
  <c r="E24" i="1"/>
  <c r="F24" i="1" s="1"/>
  <c r="G24" i="1" s="1"/>
  <c r="E25" i="1"/>
  <c r="E26" i="1"/>
  <c r="E27" i="1"/>
  <c r="E28" i="1"/>
  <c r="E29" i="1"/>
  <c r="E30" i="1"/>
  <c r="E31" i="1"/>
  <c r="E32" i="1"/>
  <c r="F32" i="1" s="1"/>
  <c r="G32" i="1" s="1"/>
  <c r="E33" i="1"/>
  <c r="F33" i="1" s="1"/>
  <c r="G33" i="1" s="1"/>
  <c r="E34" i="1"/>
  <c r="E35" i="1"/>
  <c r="E36" i="1"/>
  <c r="E37" i="1"/>
  <c r="E38" i="1"/>
  <c r="E39" i="1"/>
  <c r="E40" i="1"/>
  <c r="F40" i="1" s="1"/>
  <c r="G40" i="1" s="1"/>
  <c r="E41" i="1"/>
  <c r="E42" i="1"/>
  <c r="E43" i="1"/>
  <c r="E44" i="1"/>
  <c r="E45" i="1"/>
  <c r="E46" i="1"/>
  <c r="E47" i="1"/>
  <c r="E48" i="1"/>
  <c r="F48" i="1" s="1"/>
  <c r="G48" i="1" s="1"/>
  <c r="E49" i="1"/>
  <c r="E50" i="1"/>
  <c r="F50" i="1"/>
  <c r="G50" i="1" s="1"/>
  <c r="E51" i="1"/>
  <c r="E52" i="1"/>
  <c r="E53" i="1"/>
  <c r="E54" i="1"/>
  <c r="E55" i="1"/>
  <c r="E56" i="1"/>
  <c r="F56" i="1" s="1"/>
  <c r="G56" i="1" s="1"/>
  <c r="E57" i="1"/>
  <c r="E58" i="1"/>
  <c r="E59" i="1"/>
  <c r="E60" i="1"/>
  <c r="E61" i="1"/>
  <c r="F61" i="1" s="1"/>
  <c r="G61" i="1" s="1"/>
  <c r="E62" i="1"/>
  <c r="E63" i="1"/>
  <c r="E64" i="1"/>
  <c r="F64" i="1" s="1"/>
  <c r="G64" i="1" s="1"/>
  <c r="E65" i="1"/>
  <c r="E66" i="1"/>
  <c r="E67" i="1"/>
  <c r="E2" i="1"/>
  <c r="F2" i="1" s="1"/>
  <c r="G2" i="1" s="1"/>
  <c r="D67" i="1"/>
  <c r="D13" i="1"/>
  <c r="D14" i="1"/>
  <c r="F14" i="1" s="1"/>
  <c r="G14" i="1" s="1"/>
  <c r="D15" i="1"/>
  <c r="F15" i="1" s="1"/>
  <c r="G15" i="1" s="1"/>
  <c r="D16" i="1"/>
  <c r="D17" i="1"/>
  <c r="D18" i="1"/>
  <c r="D19" i="1"/>
  <c r="D20" i="1"/>
  <c r="D21" i="1"/>
  <c r="D22" i="1"/>
  <c r="F22" i="1" s="1"/>
  <c r="G22" i="1" s="1"/>
  <c r="D23" i="1"/>
  <c r="F23" i="1" s="1"/>
  <c r="G23" i="1" s="1"/>
  <c r="D24" i="1"/>
  <c r="D25" i="1"/>
  <c r="D26" i="1"/>
  <c r="D27" i="1"/>
  <c r="F27" i="1" s="1"/>
  <c r="G27" i="1" s="1"/>
  <c r="D28" i="1"/>
  <c r="D29" i="1"/>
  <c r="D30" i="1"/>
  <c r="F30" i="1" s="1"/>
  <c r="G30" i="1" s="1"/>
  <c r="D31" i="1"/>
  <c r="F31" i="1" s="1"/>
  <c r="G31" i="1" s="1"/>
  <c r="D32" i="1"/>
  <c r="D33" i="1"/>
  <c r="D34" i="1"/>
  <c r="F34" i="1" s="1"/>
  <c r="G34" i="1" s="1"/>
  <c r="D35" i="1"/>
  <c r="F35" i="1" s="1"/>
  <c r="G35" i="1" s="1"/>
  <c r="D36" i="1"/>
  <c r="D37" i="1"/>
  <c r="D38" i="1"/>
  <c r="F38" i="1" s="1"/>
  <c r="G38" i="1" s="1"/>
  <c r="D39" i="1"/>
  <c r="F39" i="1" s="1"/>
  <c r="G39" i="1" s="1"/>
  <c r="D40" i="1"/>
  <c r="D41" i="1"/>
  <c r="D42" i="1"/>
  <c r="F42" i="1" s="1"/>
  <c r="G42" i="1" s="1"/>
  <c r="D43" i="1"/>
  <c r="D44" i="1"/>
  <c r="D45" i="1"/>
  <c r="D46" i="1"/>
  <c r="F46" i="1" s="1"/>
  <c r="G46" i="1" s="1"/>
  <c r="D47" i="1"/>
  <c r="D48" i="1"/>
  <c r="D49" i="1"/>
  <c r="D50" i="1"/>
  <c r="D51" i="1"/>
  <c r="D52" i="1"/>
  <c r="D53" i="1"/>
  <c r="D54" i="1"/>
  <c r="F54" i="1" s="1"/>
  <c r="G54" i="1" s="1"/>
  <c r="D55" i="1"/>
  <c r="F55" i="1" s="1"/>
  <c r="G55" i="1" s="1"/>
  <c r="D56" i="1"/>
  <c r="D57" i="1"/>
  <c r="D58" i="1"/>
  <c r="F58" i="1" s="1"/>
  <c r="G58" i="1" s="1"/>
  <c r="D59" i="1"/>
  <c r="D60" i="1"/>
  <c r="D61" i="1"/>
  <c r="D62" i="1"/>
  <c r="F62" i="1" s="1"/>
  <c r="G62" i="1" s="1"/>
  <c r="D63" i="1"/>
  <c r="D64" i="1"/>
  <c r="D65" i="1"/>
  <c r="D66" i="1"/>
  <c r="F66" i="1" s="1"/>
  <c r="G66" i="1" s="1"/>
  <c r="D3" i="1"/>
  <c r="D4" i="1"/>
  <c r="F4" i="1" s="1"/>
  <c r="G4" i="1" s="1"/>
  <c r="D5" i="1"/>
  <c r="D6" i="1"/>
  <c r="F6" i="1" s="1"/>
  <c r="G6" i="1" s="1"/>
  <c r="D7" i="1"/>
  <c r="D8" i="1"/>
  <c r="F8" i="1" s="1"/>
  <c r="G8" i="1" s="1"/>
  <c r="D9" i="1"/>
  <c r="D10" i="1"/>
  <c r="F10" i="1" s="1"/>
  <c r="G10" i="1" s="1"/>
  <c r="D11" i="1"/>
  <c r="D12" i="1"/>
  <c r="F12" i="1" s="1"/>
  <c r="G12" i="1" s="1"/>
  <c r="D2" i="1"/>
  <c r="F3" i="1" l="1"/>
  <c r="G3" i="1" s="1"/>
  <c r="F19" i="1"/>
  <c r="G19" i="1" s="1"/>
  <c r="F26" i="1"/>
  <c r="G26" i="1" s="1"/>
  <c r="F16" i="1"/>
  <c r="G16" i="1" s="1"/>
  <c r="F43" i="1"/>
  <c r="G43" i="1" s="1"/>
  <c r="F18" i="1"/>
  <c r="G18" i="1" s="1"/>
  <c r="F37" i="1"/>
  <c r="G37" i="1" s="1"/>
  <c r="F7" i="1"/>
  <c r="G7" i="1" s="1"/>
  <c r="F49" i="1"/>
  <c r="G49" i="1" s="1"/>
  <c r="C4" i="3"/>
  <c r="F11" i="1"/>
  <c r="G11" i="1" s="1"/>
  <c r="F52" i="1"/>
  <c r="G52" i="1" s="1"/>
  <c r="F63" i="1"/>
  <c r="G63" i="1" s="1"/>
  <c r="F57" i="1"/>
  <c r="G57" i="1" s="1"/>
  <c r="F51" i="1"/>
  <c r="G51" i="1" s="1"/>
  <c r="F45" i="1"/>
  <c r="G45" i="1" s="1"/>
  <c r="F29" i="1"/>
  <c r="G29" i="1" s="1"/>
  <c r="F13" i="1"/>
  <c r="G13" i="1" s="1"/>
  <c r="F44" i="1"/>
  <c r="G44" i="1" s="1"/>
  <c r="C3" i="3" s="1"/>
  <c r="F28" i="1"/>
  <c r="G28" i="1" s="1"/>
  <c r="F67" i="1"/>
  <c r="G67" i="1" s="1"/>
  <c r="F60" i="1"/>
  <c r="G60" i="1" s="1"/>
  <c r="F59" i="1"/>
  <c r="G59" i="1" s="1"/>
  <c r="F47" i="1"/>
  <c r="G47" i="1" s="1"/>
  <c r="F36" i="1"/>
  <c r="G36" i="1" s="1"/>
  <c r="F20" i="1"/>
  <c r="G20" i="1" s="1"/>
  <c r="F5" i="1"/>
  <c r="G5" i="1" s="1"/>
  <c r="F65" i="1"/>
  <c r="G65" i="1" s="1"/>
  <c r="F53" i="1"/>
  <c r="G53" i="1" s="1"/>
  <c r="F41" i="1"/>
  <c r="G41" i="1" s="1"/>
  <c r="F25" i="1"/>
  <c r="G25" i="1" s="1"/>
  <c r="F9" i="1"/>
  <c r="G9" i="1" s="1"/>
  <c r="C2" i="3" l="1"/>
</calcChain>
</file>

<file path=xl/sharedStrings.xml><?xml version="1.0" encoding="utf-8"?>
<sst xmlns="http://schemas.openxmlformats.org/spreadsheetml/2006/main" count="93" uniqueCount="25">
  <si>
    <t>Date</t>
  </si>
  <si>
    <t>Product</t>
  </si>
  <si>
    <t>Product-A</t>
  </si>
  <si>
    <t>Product-B</t>
  </si>
  <si>
    <t>Product-C</t>
  </si>
  <si>
    <t>Product-D</t>
  </si>
  <si>
    <t>Product-E</t>
  </si>
  <si>
    <t>Name</t>
  </si>
  <si>
    <t>Motorola</t>
  </si>
  <si>
    <t>Samsung</t>
  </si>
  <si>
    <t>Apple</t>
  </si>
  <si>
    <t>OnePlus</t>
  </si>
  <si>
    <t>Google</t>
  </si>
  <si>
    <t>Unit Price</t>
  </si>
  <si>
    <t>Dealer Price</t>
  </si>
  <si>
    <t>Quantity</t>
  </si>
  <si>
    <t>Price</t>
  </si>
  <si>
    <t>Revenue</t>
  </si>
  <si>
    <t>Financial Year</t>
  </si>
  <si>
    <t>Target Revenue</t>
  </si>
  <si>
    <t>Actual</t>
  </si>
  <si>
    <t>Margin</t>
  </si>
  <si>
    <t>FY 2023-2024</t>
  </si>
  <si>
    <t>FY 2024-2025</t>
  </si>
  <si>
    <t>FY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</si>
</sst>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P20" sqref="P20"/>
    </sheetView>
  </sheetViews>
  <sheetFormatPr defaultRowHeight="14.4" x14ac:dyDescent="0.3"/>
  <cols>
    <col min="1" max="1" width="17" style="2" customWidth="1"/>
    <col min="2" max="2" width="9.88671875" style="2" bestFit="1" customWidth="1"/>
    <col min="3" max="3" width="9.88671875" style="4" bestFit="1" customWidth="1"/>
    <col min="4" max="4" width="10.44140625" style="6" bestFit="1" customWidth="1"/>
    <col min="5" max="5" width="10.77734375" style="6" bestFit="1" customWidth="1"/>
    <col min="6" max="6" width="9" style="6" bestFit="1" customWidth="1"/>
    <col min="7" max="7" width="14.33203125" style="7" customWidth="1"/>
  </cols>
  <sheetData>
    <row r="1" spans="1:7" x14ac:dyDescent="0.3">
      <c r="A1" s="2" t="s">
        <v>0</v>
      </c>
      <c r="B1" s="3" t="s">
        <v>1</v>
      </c>
      <c r="C1" s="4" t="s">
        <v>15</v>
      </c>
      <c r="D1" s="6" t="s">
        <v>16</v>
      </c>
      <c r="E1" s="6" t="s">
        <v>14</v>
      </c>
      <c r="F1" s="6" t="s">
        <v>21</v>
      </c>
      <c r="G1" s="7" t="s">
        <v>17</v>
      </c>
    </row>
    <row r="2" spans="1:7" x14ac:dyDescent="0.3">
      <c r="A2" s="3">
        <v>45017</v>
      </c>
      <c r="B2" s="3" t="s">
        <v>3</v>
      </c>
      <c r="C2" s="4">
        <v>5</v>
      </c>
      <c r="D2" s="6">
        <f>LOOKUP(B2, Product!$A$2:$A$6,Product!$C$2:$C$6)</f>
        <v>78000</v>
      </c>
      <c r="E2" s="6">
        <f>LOOKUP(B2, Product!$A$2:$A$6,Product!$D$2:$D$6)</f>
        <v>56000</v>
      </c>
      <c r="F2" s="6">
        <f>D2-E2</f>
        <v>22000</v>
      </c>
      <c r="G2" s="7">
        <f>C2*F2</f>
        <v>110000</v>
      </c>
    </row>
    <row r="3" spans="1:7" x14ac:dyDescent="0.3">
      <c r="A3" s="3">
        <v>45031</v>
      </c>
      <c r="B3" s="3" t="s">
        <v>4</v>
      </c>
      <c r="C3" s="4">
        <v>8</v>
      </c>
      <c r="D3" s="6">
        <f>LOOKUP(B3, Product!$A$2:$A$6,Product!$C$2:$C$6)</f>
        <v>125000</v>
      </c>
      <c r="E3" s="6">
        <f>LOOKUP(B3, Product!$A$2:$A$6,Product!$D$2:$D$6)</f>
        <v>98000</v>
      </c>
      <c r="F3" s="6">
        <f>D3-E3</f>
        <v>27000</v>
      </c>
      <c r="G3" s="7">
        <f>C3*F3</f>
        <v>216000</v>
      </c>
    </row>
    <row r="4" spans="1:7" x14ac:dyDescent="0.3">
      <c r="A4" s="3">
        <v>45047</v>
      </c>
      <c r="B4" s="3" t="s">
        <v>5</v>
      </c>
      <c r="C4" s="4">
        <v>7</v>
      </c>
      <c r="D4" s="6">
        <f>LOOKUP(B4, Product!$A$2:$A$6,Product!$C$2:$C$6)</f>
        <v>95000</v>
      </c>
      <c r="E4" s="6">
        <f>LOOKUP(B4, Product!$A$2:$A$6,Product!$D$2:$D$6)</f>
        <v>78000</v>
      </c>
      <c r="F4" s="6">
        <f>D4-E4</f>
        <v>17000</v>
      </c>
      <c r="G4" s="7">
        <f>C4*F4</f>
        <v>119000</v>
      </c>
    </row>
    <row r="5" spans="1:7" x14ac:dyDescent="0.3">
      <c r="A5" s="3">
        <v>45061</v>
      </c>
      <c r="B5" s="3" t="s">
        <v>6</v>
      </c>
      <c r="C5" s="4">
        <v>9</v>
      </c>
      <c r="D5" s="6">
        <f>LOOKUP(B5, Product!$A$2:$A$6,Product!$C$2:$C$6)</f>
        <v>98000</v>
      </c>
      <c r="E5" s="6">
        <f>LOOKUP(B5, Product!$A$2:$A$6,Product!$D$2:$D$6)</f>
        <v>70000</v>
      </c>
      <c r="F5" s="6">
        <f>D5-E5</f>
        <v>28000</v>
      </c>
      <c r="G5" s="7">
        <f>C5*F5</f>
        <v>252000</v>
      </c>
    </row>
    <row r="6" spans="1:7" x14ac:dyDescent="0.3">
      <c r="A6" s="3">
        <v>45078</v>
      </c>
      <c r="B6" s="3" t="s">
        <v>2</v>
      </c>
      <c r="C6" s="4">
        <v>10</v>
      </c>
      <c r="D6" s="6">
        <f>LOOKUP(B6, Product!$A$2:$A$6,Product!$C$2:$C$6)</f>
        <v>30000</v>
      </c>
      <c r="E6" s="6">
        <f>LOOKUP(B6, Product!$A$2:$A$6,Product!$D$2:$D$6)</f>
        <v>26000</v>
      </c>
      <c r="F6" s="6">
        <f>D6-E6</f>
        <v>4000</v>
      </c>
      <c r="G6" s="7">
        <f>C6*F6</f>
        <v>40000</v>
      </c>
    </row>
    <row r="7" spans="1:7" x14ac:dyDescent="0.3">
      <c r="A7" s="3">
        <v>45092</v>
      </c>
      <c r="B7" s="3" t="s">
        <v>3</v>
      </c>
      <c r="C7" s="4">
        <v>12</v>
      </c>
      <c r="D7" s="6">
        <f>LOOKUP(B7, Product!$A$2:$A$6,Product!$C$2:$C$6)</f>
        <v>78000</v>
      </c>
      <c r="E7" s="6">
        <f>LOOKUP(B7, Product!$A$2:$A$6,Product!$D$2:$D$6)</f>
        <v>56000</v>
      </c>
      <c r="F7" s="6">
        <f>D7-E7</f>
        <v>22000</v>
      </c>
      <c r="G7" s="7">
        <f>C7*F7</f>
        <v>264000</v>
      </c>
    </row>
    <row r="8" spans="1:7" x14ac:dyDescent="0.3">
      <c r="A8" s="3">
        <v>45108</v>
      </c>
      <c r="B8" s="3" t="s">
        <v>4</v>
      </c>
      <c r="C8" s="4">
        <v>7</v>
      </c>
      <c r="D8" s="6">
        <f>LOOKUP(B8, Product!$A$2:$A$6,Product!$C$2:$C$6)</f>
        <v>125000</v>
      </c>
      <c r="E8" s="6">
        <f>LOOKUP(B8, Product!$A$2:$A$6,Product!$D$2:$D$6)</f>
        <v>98000</v>
      </c>
      <c r="F8" s="6">
        <f>D8-E8</f>
        <v>27000</v>
      </c>
      <c r="G8" s="7">
        <f>C8*F8</f>
        <v>189000</v>
      </c>
    </row>
    <row r="9" spans="1:7" x14ac:dyDescent="0.3">
      <c r="A9" s="3">
        <v>45122</v>
      </c>
      <c r="B9" s="3" t="s">
        <v>5</v>
      </c>
      <c r="C9" s="4">
        <v>10</v>
      </c>
      <c r="D9" s="6">
        <f>LOOKUP(B9, Product!$A$2:$A$6,Product!$C$2:$C$6)</f>
        <v>95000</v>
      </c>
      <c r="E9" s="6">
        <f>LOOKUP(B9, Product!$A$2:$A$6,Product!$D$2:$D$6)</f>
        <v>78000</v>
      </c>
      <c r="F9" s="6">
        <f>D9-E9</f>
        <v>17000</v>
      </c>
      <c r="G9" s="7">
        <f>C9*F9</f>
        <v>170000</v>
      </c>
    </row>
    <row r="10" spans="1:7" x14ac:dyDescent="0.3">
      <c r="A10" s="3">
        <v>45139</v>
      </c>
      <c r="B10" s="3" t="s">
        <v>6</v>
      </c>
      <c r="C10" s="4">
        <v>11</v>
      </c>
      <c r="D10" s="6">
        <f>LOOKUP(B10, Product!$A$2:$A$6,Product!$C$2:$C$6)</f>
        <v>98000</v>
      </c>
      <c r="E10" s="6">
        <f>LOOKUP(B10, Product!$A$2:$A$6,Product!$D$2:$D$6)</f>
        <v>70000</v>
      </c>
      <c r="F10" s="6">
        <f>D10-E10</f>
        <v>28000</v>
      </c>
      <c r="G10" s="7">
        <f>C10*F10</f>
        <v>308000</v>
      </c>
    </row>
    <row r="11" spans="1:7" x14ac:dyDescent="0.3">
      <c r="A11" s="3">
        <v>45153</v>
      </c>
      <c r="B11" s="3" t="s">
        <v>2</v>
      </c>
      <c r="C11" s="4">
        <v>15</v>
      </c>
      <c r="D11" s="6">
        <f>LOOKUP(B11, Product!$A$2:$A$6,Product!$C$2:$C$6)</f>
        <v>30000</v>
      </c>
      <c r="E11" s="6">
        <f>LOOKUP(B11, Product!$A$2:$A$6,Product!$D$2:$D$6)</f>
        <v>26000</v>
      </c>
      <c r="F11" s="6">
        <f>D11-E11</f>
        <v>4000</v>
      </c>
      <c r="G11" s="7">
        <f>C11*F11</f>
        <v>60000</v>
      </c>
    </row>
    <row r="12" spans="1:7" x14ac:dyDescent="0.3">
      <c r="A12" s="3">
        <v>45170</v>
      </c>
      <c r="B12" s="3" t="s">
        <v>3</v>
      </c>
      <c r="C12" s="4">
        <v>5</v>
      </c>
      <c r="D12" s="6">
        <f>LOOKUP(B12, Product!$A$2:$A$6,Product!$C$2:$C$6)</f>
        <v>78000</v>
      </c>
      <c r="E12" s="6">
        <f>LOOKUP(B12, Product!$A$2:$A$6,Product!$D$2:$D$6)</f>
        <v>56000</v>
      </c>
      <c r="F12" s="6">
        <f>D12-E12</f>
        <v>22000</v>
      </c>
      <c r="G12" s="7">
        <f>C12*F12</f>
        <v>110000</v>
      </c>
    </row>
    <row r="13" spans="1:7" x14ac:dyDescent="0.3">
      <c r="A13" s="3">
        <v>45184</v>
      </c>
      <c r="B13" s="3" t="s">
        <v>4</v>
      </c>
      <c r="C13" s="4">
        <v>8</v>
      </c>
      <c r="D13" s="6">
        <f>LOOKUP(B13, Product!$A$2:$A$6,Product!$C$2:$C$6)</f>
        <v>125000</v>
      </c>
      <c r="E13" s="6">
        <f>LOOKUP(B13, Product!$A$2:$A$6,Product!$D$2:$D$6)</f>
        <v>98000</v>
      </c>
      <c r="F13" s="6">
        <f>D13-E13</f>
        <v>27000</v>
      </c>
      <c r="G13" s="7">
        <f>C13*F13</f>
        <v>216000</v>
      </c>
    </row>
    <row r="14" spans="1:7" x14ac:dyDescent="0.3">
      <c r="A14" s="3">
        <v>45200</v>
      </c>
      <c r="B14" s="3" t="s">
        <v>5</v>
      </c>
      <c r="C14" s="4">
        <v>7</v>
      </c>
      <c r="D14" s="6">
        <f>LOOKUP(B14, Product!$A$2:$A$6,Product!$C$2:$C$6)</f>
        <v>95000</v>
      </c>
      <c r="E14" s="6">
        <f>LOOKUP(B14, Product!$A$2:$A$6,Product!$D$2:$D$6)</f>
        <v>78000</v>
      </c>
      <c r="F14" s="6">
        <f>D14-E14</f>
        <v>17000</v>
      </c>
      <c r="G14" s="7">
        <f>C14*F14</f>
        <v>119000</v>
      </c>
    </row>
    <row r="15" spans="1:7" x14ac:dyDescent="0.3">
      <c r="A15" s="3">
        <v>45214</v>
      </c>
      <c r="B15" s="3" t="s">
        <v>6</v>
      </c>
      <c r="C15" s="4">
        <v>9</v>
      </c>
      <c r="D15" s="6">
        <f>LOOKUP(B15, Product!$A$2:$A$6,Product!$C$2:$C$6)</f>
        <v>98000</v>
      </c>
      <c r="E15" s="6">
        <f>LOOKUP(B15, Product!$A$2:$A$6,Product!$D$2:$D$6)</f>
        <v>70000</v>
      </c>
      <c r="F15" s="6">
        <f>D15-E15</f>
        <v>28000</v>
      </c>
      <c r="G15" s="7">
        <f>C15*F15</f>
        <v>252000</v>
      </c>
    </row>
    <row r="16" spans="1:7" x14ac:dyDescent="0.3">
      <c r="A16" s="3">
        <v>45231</v>
      </c>
      <c r="B16" s="3" t="s">
        <v>2</v>
      </c>
      <c r="C16" s="4">
        <v>10</v>
      </c>
      <c r="D16" s="6">
        <f>LOOKUP(B16, Product!$A$2:$A$6,Product!$C$2:$C$6)</f>
        <v>30000</v>
      </c>
      <c r="E16" s="6">
        <f>LOOKUP(B16, Product!$A$2:$A$6,Product!$D$2:$D$6)</f>
        <v>26000</v>
      </c>
      <c r="F16" s="6">
        <f>D16-E16</f>
        <v>4000</v>
      </c>
      <c r="G16" s="7">
        <f>C16*F16</f>
        <v>40000</v>
      </c>
    </row>
    <row r="17" spans="1:7" x14ac:dyDescent="0.3">
      <c r="A17" s="3">
        <v>45245</v>
      </c>
      <c r="B17" s="3" t="s">
        <v>3</v>
      </c>
      <c r="C17" s="4">
        <v>12</v>
      </c>
      <c r="D17" s="6">
        <f>LOOKUP(B17, Product!$A$2:$A$6,Product!$C$2:$C$6)</f>
        <v>78000</v>
      </c>
      <c r="E17" s="6">
        <f>LOOKUP(B17, Product!$A$2:$A$6,Product!$D$2:$D$6)</f>
        <v>56000</v>
      </c>
      <c r="F17" s="6">
        <f>D17-E17</f>
        <v>22000</v>
      </c>
      <c r="G17" s="7">
        <f>C17*F17</f>
        <v>264000</v>
      </c>
    </row>
    <row r="18" spans="1:7" x14ac:dyDescent="0.3">
      <c r="A18" s="3">
        <v>45261</v>
      </c>
      <c r="B18" s="3" t="s">
        <v>4</v>
      </c>
      <c r="C18" s="4">
        <v>7</v>
      </c>
      <c r="D18" s="6">
        <f>LOOKUP(B18, Product!$A$2:$A$6,Product!$C$2:$C$6)</f>
        <v>125000</v>
      </c>
      <c r="E18" s="6">
        <f>LOOKUP(B18, Product!$A$2:$A$6,Product!$D$2:$D$6)</f>
        <v>98000</v>
      </c>
      <c r="F18" s="6">
        <f>D18-E18</f>
        <v>27000</v>
      </c>
      <c r="G18" s="7">
        <f>C18*F18</f>
        <v>189000</v>
      </c>
    </row>
    <row r="19" spans="1:7" x14ac:dyDescent="0.3">
      <c r="A19" s="3">
        <v>45275</v>
      </c>
      <c r="B19" s="3" t="s">
        <v>5</v>
      </c>
      <c r="C19" s="4">
        <v>10</v>
      </c>
      <c r="D19" s="6">
        <f>LOOKUP(B19, Product!$A$2:$A$6,Product!$C$2:$C$6)</f>
        <v>95000</v>
      </c>
      <c r="E19" s="6">
        <f>LOOKUP(B19, Product!$A$2:$A$6,Product!$D$2:$D$6)</f>
        <v>78000</v>
      </c>
      <c r="F19" s="6">
        <f>D19-E19</f>
        <v>17000</v>
      </c>
      <c r="G19" s="7">
        <f>C19*F19</f>
        <v>170000</v>
      </c>
    </row>
    <row r="20" spans="1:7" x14ac:dyDescent="0.3">
      <c r="A20" s="3">
        <v>45292</v>
      </c>
      <c r="B20" s="3" t="s">
        <v>6</v>
      </c>
      <c r="C20" s="4">
        <v>11</v>
      </c>
      <c r="D20" s="6">
        <f>LOOKUP(B20, Product!$A$2:$A$6,Product!$C$2:$C$6)</f>
        <v>98000</v>
      </c>
      <c r="E20" s="6">
        <f>LOOKUP(B20, Product!$A$2:$A$6,Product!$D$2:$D$6)</f>
        <v>70000</v>
      </c>
      <c r="F20" s="6">
        <f>D20-E20</f>
        <v>28000</v>
      </c>
      <c r="G20" s="7">
        <f>C20*F20</f>
        <v>308000</v>
      </c>
    </row>
    <row r="21" spans="1:7" x14ac:dyDescent="0.3">
      <c r="A21" s="3">
        <v>45306</v>
      </c>
      <c r="B21" s="3" t="s">
        <v>2</v>
      </c>
      <c r="C21" s="4">
        <v>15</v>
      </c>
      <c r="D21" s="6">
        <f>LOOKUP(B21, Product!$A$2:$A$6,Product!$C$2:$C$6)</f>
        <v>30000</v>
      </c>
      <c r="E21" s="6">
        <f>LOOKUP(B21, Product!$A$2:$A$6,Product!$D$2:$D$6)</f>
        <v>26000</v>
      </c>
      <c r="F21" s="6">
        <f>D21-E21</f>
        <v>4000</v>
      </c>
      <c r="G21" s="7">
        <f>C21*F21</f>
        <v>60000</v>
      </c>
    </row>
    <row r="22" spans="1:7" x14ac:dyDescent="0.3">
      <c r="A22" s="3">
        <v>45323</v>
      </c>
      <c r="B22" s="3" t="s">
        <v>3</v>
      </c>
      <c r="C22" s="4">
        <v>12</v>
      </c>
      <c r="D22" s="6">
        <f>LOOKUP(B22, Product!$A$2:$A$6,Product!$C$2:$C$6)</f>
        <v>78000</v>
      </c>
      <c r="E22" s="6">
        <f>LOOKUP(B22, Product!$A$2:$A$6,Product!$D$2:$D$6)</f>
        <v>56000</v>
      </c>
      <c r="F22" s="6">
        <f>D22-E22</f>
        <v>22000</v>
      </c>
      <c r="G22" s="7">
        <f>C22*F22</f>
        <v>264000</v>
      </c>
    </row>
    <row r="23" spans="1:7" x14ac:dyDescent="0.3">
      <c r="A23" s="3">
        <v>45337</v>
      </c>
      <c r="B23" s="3" t="s">
        <v>4</v>
      </c>
      <c r="C23" s="4">
        <v>13</v>
      </c>
      <c r="D23" s="6">
        <f>LOOKUP(B23, Product!$A$2:$A$6,Product!$C$2:$C$6)</f>
        <v>125000</v>
      </c>
      <c r="E23" s="6">
        <f>LOOKUP(B23, Product!$A$2:$A$6,Product!$D$2:$D$6)</f>
        <v>98000</v>
      </c>
      <c r="F23" s="6">
        <f>D23-E23</f>
        <v>27000</v>
      </c>
      <c r="G23" s="7">
        <f>C23*F23</f>
        <v>351000</v>
      </c>
    </row>
    <row r="24" spans="1:7" x14ac:dyDescent="0.3">
      <c r="A24" s="3">
        <v>45352</v>
      </c>
      <c r="B24" s="3" t="s">
        <v>5</v>
      </c>
      <c r="C24" s="4">
        <v>24</v>
      </c>
      <c r="D24" s="6">
        <f>LOOKUP(B24, Product!$A$2:$A$6,Product!$C$2:$C$6)</f>
        <v>95000</v>
      </c>
      <c r="E24" s="6">
        <f>LOOKUP(B24, Product!$A$2:$A$6,Product!$D$2:$D$6)</f>
        <v>78000</v>
      </c>
      <c r="F24" s="6">
        <f>D24-E24</f>
        <v>17000</v>
      </c>
      <c r="G24" s="7">
        <f>C24*F24</f>
        <v>408000</v>
      </c>
    </row>
    <row r="25" spans="1:7" x14ac:dyDescent="0.3">
      <c r="A25" s="3">
        <v>45366</v>
      </c>
      <c r="B25" s="3" t="s">
        <v>6</v>
      </c>
      <c r="C25" s="4">
        <v>12</v>
      </c>
      <c r="D25" s="6">
        <f>LOOKUP(B25, Product!$A$2:$A$6,Product!$C$2:$C$6)</f>
        <v>98000</v>
      </c>
      <c r="E25" s="6">
        <f>LOOKUP(B25, Product!$A$2:$A$6,Product!$D$2:$D$6)</f>
        <v>70000</v>
      </c>
      <c r="F25" s="6">
        <f>D25-E25</f>
        <v>28000</v>
      </c>
      <c r="G25" s="7">
        <f>C25*F25</f>
        <v>336000</v>
      </c>
    </row>
    <row r="26" spans="1:7" x14ac:dyDescent="0.3">
      <c r="A26" s="3">
        <v>45383</v>
      </c>
      <c r="B26" s="3" t="s">
        <v>2</v>
      </c>
      <c r="C26" s="4">
        <v>10</v>
      </c>
      <c r="D26" s="6">
        <f>LOOKUP(B26, Product!$A$2:$A$6,Product!$C$2:$C$6)</f>
        <v>30000</v>
      </c>
      <c r="E26" s="6">
        <f>LOOKUP(B26, Product!$A$2:$A$6,Product!$D$2:$D$6)</f>
        <v>26000</v>
      </c>
      <c r="F26" s="6">
        <f>D26-E26</f>
        <v>4000</v>
      </c>
      <c r="G26" s="7">
        <f>C26*F26</f>
        <v>40000</v>
      </c>
    </row>
    <row r="27" spans="1:7" x14ac:dyDescent="0.3">
      <c r="A27" s="3">
        <v>45397</v>
      </c>
      <c r="B27" s="3" t="s">
        <v>3</v>
      </c>
      <c r="C27" s="4">
        <v>12</v>
      </c>
      <c r="D27" s="6">
        <f>LOOKUP(B27, Product!$A$2:$A$6,Product!$C$2:$C$6)</f>
        <v>78000</v>
      </c>
      <c r="E27" s="6">
        <f>LOOKUP(B27, Product!$A$2:$A$6,Product!$D$2:$D$6)</f>
        <v>56000</v>
      </c>
      <c r="F27" s="6">
        <f>D27-E27</f>
        <v>22000</v>
      </c>
      <c r="G27" s="7">
        <f>C27*F27</f>
        <v>264000</v>
      </c>
    </row>
    <row r="28" spans="1:7" x14ac:dyDescent="0.3">
      <c r="A28" s="3">
        <v>45413</v>
      </c>
      <c r="B28" s="3" t="s">
        <v>4</v>
      </c>
      <c r="C28" s="4">
        <v>12</v>
      </c>
      <c r="D28" s="6">
        <f>LOOKUP(B28, Product!$A$2:$A$6,Product!$C$2:$C$6)</f>
        <v>125000</v>
      </c>
      <c r="E28" s="6">
        <f>LOOKUP(B28, Product!$A$2:$A$6,Product!$D$2:$D$6)</f>
        <v>98000</v>
      </c>
      <c r="F28" s="6">
        <f>D28-E28</f>
        <v>27000</v>
      </c>
      <c r="G28" s="7">
        <f>C28*F28</f>
        <v>324000</v>
      </c>
    </row>
    <row r="29" spans="1:7" x14ac:dyDescent="0.3">
      <c r="A29" s="3">
        <v>45427</v>
      </c>
      <c r="B29" s="3" t="s">
        <v>5</v>
      </c>
      <c r="C29" s="4">
        <v>13</v>
      </c>
      <c r="D29" s="6">
        <f>LOOKUP(B29, Product!$A$2:$A$6,Product!$C$2:$C$6)</f>
        <v>95000</v>
      </c>
      <c r="E29" s="6">
        <f>LOOKUP(B29, Product!$A$2:$A$6,Product!$D$2:$D$6)</f>
        <v>78000</v>
      </c>
      <c r="F29" s="6">
        <f>D29-E29</f>
        <v>17000</v>
      </c>
      <c r="G29" s="7">
        <f>C29*F29</f>
        <v>221000</v>
      </c>
    </row>
    <row r="30" spans="1:7" x14ac:dyDescent="0.3">
      <c r="A30" s="3">
        <v>45444</v>
      </c>
      <c r="B30" s="3" t="s">
        <v>6</v>
      </c>
      <c r="C30" s="4">
        <v>24</v>
      </c>
      <c r="D30" s="6">
        <f>LOOKUP(B30, Product!$A$2:$A$6,Product!$C$2:$C$6)</f>
        <v>98000</v>
      </c>
      <c r="E30" s="6">
        <f>LOOKUP(B30, Product!$A$2:$A$6,Product!$D$2:$D$6)</f>
        <v>70000</v>
      </c>
      <c r="F30" s="6">
        <f>D30-E30</f>
        <v>28000</v>
      </c>
      <c r="G30" s="7">
        <f>C30*F30</f>
        <v>672000</v>
      </c>
    </row>
    <row r="31" spans="1:7" x14ac:dyDescent="0.3">
      <c r="A31" s="3">
        <v>45458</v>
      </c>
      <c r="B31" s="3" t="s">
        <v>2</v>
      </c>
      <c r="C31" s="4">
        <v>12</v>
      </c>
      <c r="D31" s="6">
        <f>LOOKUP(B31, Product!$A$2:$A$6,Product!$C$2:$C$6)</f>
        <v>30000</v>
      </c>
      <c r="E31" s="6">
        <f>LOOKUP(B31, Product!$A$2:$A$6,Product!$D$2:$D$6)</f>
        <v>26000</v>
      </c>
      <c r="F31" s="6">
        <f>D31-E31</f>
        <v>4000</v>
      </c>
      <c r="G31" s="7">
        <f>C31*F31</f>
        <v>48000</v>
      </c>
    </row>
    <row r="32" spans="1:7" x14ac:dyDescent="0.3">
      <c r="A32" s="3">
        <v>45474</v>
      </c>
      <c r="B32" s="3" t="s">
        <v>3</v>
      </c>
      <c r="C32" s="4">
        <v>10</v>
      </c>
      <c r="D32" s="6">
        <f>LOOKUP(B32, Product!$A$2:$A$6,Product!$C$2:$C$6)</f>
        <v>78000</v>
      </c>
      <c r="E32" s="6">
        <f>LOOKUP(B32, Product!$A$2:$A$6,Product!$D$2:$D$6)</f>
        <v>56000</v>
      </c>
      <c r="F32" s="6">
        <f>D32-E32</f>
        <v>22000</v>
      </c>
      <c r="G32" s="7">
        <f>C32*F32</f>
        <v>220000</v>
      </c>
    </row>
    <row r="33" spans="1:7" x14ac:dyDescent="0.3">
      <c r="A33" s="3">
        <v>45488</v>
      </c>
      <c r="B33" s="3" t="s">
        <v>4</v>
      </c>
      <c r="C33" s="4">
        <v>12</v>
      </c>
      <c r="D33" s="6">
        <f>LOOKUP(B33, Product!$A$2:$A$6,Product!$C$2:$C$6)</f>
        <v>125000</v>
      </c>
      <c r="E33" s="6">
        <f>LOOKUP(B33, Product!$A$2:$A$6,Product!$D$2:$D$6)</f>
        <v>98000</v>
      </c>
      <c r="F33" s="6">
        <f>D33-E33</f>
        <v>27000</v>
      </c>
      <c r="G33" s="7">
        <f>C33*F33</f>
        <v>324000</v>
      </c>
    </row>
    <row r="34" spans="1:7" x14ac:dyDescent="0.3">
      <c r="A34" s="3">
        <v>45505</v>
      </c>
      <c r="B34" s="3" t="s">
        <v>5</v>
      </c>
      <c r="C34" s="4">
        <v>12</v>
      </c>
      <c r="D34" s="6">
        <f>LOOKUP(B34, Product!$A$2:$A$6,Product!$C$2:$C$6)</f>
        <v>95000</v>
      </c>
      <c r="E34" s="6">
        <f>LOOKUP(B34, Product!$A$2:$A$6,Product!$D$2:$D$6)</f>
        <v>78000</v>
      </c>
      <c r="F34" s="6">
        <f>D34-E34</f>
        <v>17000</v>
      </c>
      <c r="G34" s="7">
        <f>C34*F34</f>
        <v>204000</v>
      </c>
    </row>
    <row r="35" spans="1:7" x14ac:dyDescent="0.3">
      <c r="A35" s="3">
        <v>45519</v>
      </c>
      <c r="B35" s="3" t="s">
        <v>6</v>
      </c>
      <c r="C35" s="4">
        <v>13</v>
      </c>
      <c r="D35" s="6">
        <f>LOOKUP(B35, Product!$A$2:$A$6,Product!$C$2:$C$6)</f>
        <v>98000</v>
      </c>
      <c r="E35" s="6">
        <f>LOOKUP(B35, Product!$A$2:$A$6,Product!$D$2:$D$6)</f>
        <v>70000</v>
      </c>
      <c r="F35" s="6">
        <f>D35-E35</f>
        <v>28000</v>
      </c>
      <c r="G35" s="7">
        <f>C35*F35</f>
        <v>364000</v>
      </c>
    </row>
    <row r="36" spans="1:7" x14ac:dyDescent="0.3">
      <c r="A36" s="3">
        <v>45536</v>
      </c>
      <c r="B36" s="3" t="s">
        <v>2</v>
      </c>
      <c r="C36" s="4">
        <v>24</v>
      </c>
      <c r="D36" s="6">
        <f>LOOKUP(B36, Product!$A$2:$A$6,Product!$C$2:$C$6)</f>
        <v>30000</v>
      </c>
      <c r="E36" s="6">
        <f>LOOKUP(B36, Product!$A$2:$A$6,Product!$D$2:$D$6)</f>
        <v>26000</v>
      </c>
      <c r="F36" s="6">
        <f>D36-E36</f>
        <v>4000</v>
      </c>
      <c r="G36" s="7">
        <f>C36*F36</f>
        <v>96000</v>
      </c>
    </row>
    <row r="37" spans="1:7" x14ac:dyDescent="0.3">
      <c r="A37" s="3">
        <v>45550</v>
      </c>
      <c r="B37" s="3" t="s">
        <v>3</v>
      </c>
      <c r="C37" s="4">
        <v>12</v>
      </c>
      <c r="D37" s="6">
        <f>LOOKUP(B37, Product!$A$2:$A$6,Product!$C$2:$C$6)</f>
        <v>78000</v>
      </c>
      <c r="E37" s="6">
        <f>LOOKUP(B37, Product!$A$2:$A$6,Product!$D$2:$D$6)</f>
        <v>56000</v>
      </c>
      <c r="F37" s="6">
        <f>D37-E37</f>
        <v>22000</v>
      </c>
      <c r="G37" s="7">
        <f>C37*F37</f>
        <v>264000</v>
      </c>
    </row>
    <row r="38" spans="1:7" x14ac:dyDescent="0.3">
      <c r="A38" s="3">
        <v>45566</v>
      </c>
      <c r="B38" s="3" t="s">
        <v>4</v>
      </c>
      <c r="C38" s="4">
        <v>10</v>
      </c>
      <c r="D38" s="6">
        <f>LOOKUP(B38, Product!$A$2:$A$6,Product!$C$2:$C$6)</f>
        <v>125000</v>
      </c>
      <c r="E38" s="6">
        <f>LOOKUP(B38, Product!$A$2:$A$6,Product!$D$2:$D$6)</f>
        <v>98000</v>
      </c>
      <c r="F38" s="6">
        <f>D38-E38</f>
        <v>27000</v>
      </c>
      <c r="G38" s="7">
        <f>C38*F38</f>
        <v>270000</v>
      </c>
    </row>
    <row r="39" spans="1:7" x14ac:dyDescent="0.3">
      <c r="A39" s="3">
        <v>45580</v>
      </c>
      <c r="B39" s="3" t="s">
        <v>5</v>
      </c>
      <c r="C39" s="4">
        <v>12</v>
      </c>
      <c r="D39" s="6">
        <f>LOOKUP(B39, Product!$A$2:$A$6,Product!$C$2:$C$6)</f>
        <v>95000</v>
      </c>
      <c r="E39" s="6">
        <f>LOOKUP(B39, Product!$A$2:$A$6,Product!$D$2:$D$6)</f>
        <v>78000</v>
      </c>
      <c r="F39" s="6">
        <f>D39-E39</f>
        <v>17000</v>
      </c>
      <c r="G39" s="7">
        <f>C39*F39</f>
        <v>204000</v>
      </c>
    </row>
    <row r="40" spans="1:7" x14ac:dyDescent="0.3">
      <c r="A40" s="3">
        <v>45597</v>
      </c>
      <c r="B40" s="3" t="s">
        <v>6</v>
      </c>
      <c r="C40" s="4">
        <v>12</v>
      </c>
      <c r="D40" s="6">
        <f>LOOKUP(B40, Product!$A$2:$A$6,Product!$C$2:$C$6)</f>
        <v>98000</v>
      </c>
      <c r="E40" s="6">
        <f>LOOKUP(B40, Product!$A$2:$A$6,Product!$D$2:$D$6)</f>
        <v>70000</v>
      </c>
      <c r="F40" s="6">
        <f>D40-E40</f>
        <v>28000</v>
      </c>
      <c r="G40" s="7">
        <f>C40*F40</f>
        <v>336000</v>
      </c>
    </row>
    <row r="41" spans="1:7" x14ac:dyDescent="0.3">
      <c r="A41" s="3">
        <v>45611</v>
      </c>
      <c r="B41" s="3" t="s">
        <v>2</v>
      </c>
      <c r="C41" s="4">
        <v>13</v>
      </c>
      <c r="D41" s="6">
        <f>LOOKUP(B41, Product!$A$2:$A$6,Product!$C$2:$C$6)</f>
        <v>30000</v>
      </c>
      <c r="E41" s="6">
        <f>LOOKUP(B41, Product!$A$2:$A$6,Product!$D$2:$D$6)</f>
        <v>26000</v>
      </c>
      <c r="F41" s="6">
        <f>D41-E41</f>
        <v>4000</v>
      </c>
      <c r="G41" s="7">
        <f>C41*F41</f>
        <v>52000</v>
      </c>
    </row>
    <row r="42" spans="1:7" x14ac:dyDescent="0.3">
      <c r="A42" s="3">
        <v>45627</v>
      </c>
      <c r="B42" s="3" t="s">
        <v>3</v>
      </c>
      <c r="C42" s="4">
        <v>24</v>
      </c>
      <c r="D42" s="6">
        <f>LOOKUP(B42, Product!$A$2:$A$6,Product!$C$2:$C$6)</f>
        <v>78000</v>
      </c>
      <c r="E42" s="6">
        <f>LOOKUP(B42, Product!$A$2:$A$6,Product!$D$2:$D$6)</f>
        <v>56000</v>
      </c>
      <c r="F42" s="6">
        <f>D42-E42</f>
        <v>22000</v>
      </c>
      <c r="G42" s="7">
        <f>C42*F42</f>
        <v>528000</v>
      </c>
    </row>
    <row r="43" spans="1:7" x14ac:dyDescent="0.3">
      <c r="A43" s="3">
        <v>45641</v>
      </c>
      <c r="B43" s="3" t="s">
        <v>4</v>
      </c>
      <c r="C43" s="4">
        <v>12</v>
      </c>
      <c r="D43" s="6">
        <f>LOOKUP(B43, Product!$A$2:$A$6,Product!$C$2:$C$6)</f>
        <v>125000</v>
      </c>
      <c r="E43" s="6">
        <f>LOOKUP(B43, Product!$A$2:$A$6,Product!$D$2:$D$6)</f>
        <v>98000</v>
      </c>
      <c r="F43" s="6">
        <f>D43-E43</f>
        <v>27000</v>
      </c>
      <c r="G43" s="7">
        <f>C43*F43</f>
        <v>324000</v>
      </c>
    </row>
    <row r="44" spans="1:7" x14ac:dyDescent="0.3">
      <c r="A44" s="3">
        <v>45658</v>
      </c>
      <c r="B44" s="3" t="s">
        <v>5</v>
      </c>
      <c r="C44" s="4">
        <v>10</v>
      </c>
      <c r="D44" s="6">
        <f>LOOKUP(B44, Product!$A$2:$A$6,Product!$C$2:$C$6)</f>
        <v>95000</v>
      </c>
      <c r="E44" s="6">
        <f>LOOKUP(B44, Product!$A$2:$A$6,Product!$D$2:$D$6)</f>
        <v>78000</v>
      </c>
      <c r="F44" s="6">
        <f>D44-E44</f>
        <v>17000</v>
      </c>
      <c r="G44" s="7">
        <f>C44*F44</f>
        <v>170000</v>
      </c>
    </row>
    <row r="45" spans="1:7" x14ac:dyDescent="0.3">
      <c r="A45" s="3">
        <v>45672</v>
      </c>
      <c r="B45" s="3" t="s">
        <v>6</v>
      </c>
      <c r="C45" s="4">
        <v>12</v>
      </c>
      <c r="D45" s="6">
        <f>LOOKUP(B45, Product!$A$2:$A$6,Product!$C$2:$C$6)</f>
        <v>98000</v>
      </c>
      <c r="E45" s="6">
        <f>LOOKUP(B45, Product!$A$2:$A$6,Product!$D$2:$D$6)</f>
        <v>70000</v>
      </c>
      <c r="F45" s="6">
        <f>D45-E45</f>
        <v>28000</v>
      </c>
      <c r="G45" s="7">
        <f>C45*F45</f>
        <v>336000</v>
      </c>
    </row>
    <row r="46" spans="1:7" x14ac:dyDescent="0.3">
      <c r="A46" s="3">
        <v>45689</v>
      </c>
      <c r="B46" s="3" t="s">
        <v>2</v>
      </c>
      <c r="C46" s="4">
        <v>15</v>
      </c>
      <c r="D46" s="6">
        <f>LOOKUP(B46, Product!$A$2:$A$6,Product!$C$2:$C$6)</f>
        <v>30000</v>
      </c>
      <c r="E46" s="6">
        <f>LOOKUP(B46, Product!$A$2:$A$6,Product!$D$2:$D$6)</f>
        <v>26000</v>
      </c>
      <c r="F46" s="6">
        <f>D46-E46</f>
        <v>4000</v>
      </c>
      <c r="G46" s="7">
        <f>C46*F46</f>
        <v>60000</v>
      </c>
    </row>
    <row r="47" spans="1:7" x14ac:dyDescent="0.3">
      <c r="A47" s="3">
        <v>45703</v>
      </c>
      <c r="B47" s="3" t="s">
        <v>3</v>
      </c>
      <c r="C47" s="4">
        <v>14</v>
      </c>
      <c r="D47" s="6">
        <f>LOOKUP(B47, Product!$A$2:$A$6,Product!$C$2:$C$6)</f>
        <v>78000</v>
      </c>
      <c r="E47" s="6">
        <f>LOOKUP(B47, Product!$A$2:$A$6,Product!$D$2:$D$6)</f>
        <v>56000</v>
      </c>
      <c r="F47" s="6">
        <f>D47-E47</f>
        <v>22000</v>
      </c>
      <c r="G47" s="7">
        <f>C47*F47</f>
        <v>308000</v>
      </c>
    </row>
    <row r="48" spans="1:7" x14ac:dyDescent="0.3">
      <c r="A48" s="3">
        <v>45717</v>
      </c>
      <c r="B48" s="3" t="s">
        <v>4</v>
      </c>
      <c r="C48" s="4">
        <v>16</v>
      </c>
      <c r="D48" s="6">
        <f>LOOKUP(B48, Product!$A$2:$A$6,Product!$C$2:$C$6)</f>
        <v>125000</v>
      </c>
      <c r="E48" s="6">
        <f>LOOKUP(B48, Product!$A$2:$A$6,Product!$D$2:$D$6)</f>
        <v>98000</v>
      </c>
      <c r="F48" s="6">
        <f>D48-E48</f>
        <v>27000</v>
      </c>
      <c r="G48" s="7">
        <f>C48*F48</f>
        <v>432000</v>
      </c>
    </row>
    <row r="49" spans="1:7" x14ac:dyDescent="0.3">
      <c r="A49" s="3">
        <v>45731</v>
      </c>
      <c r="B49" s="3" t="s">
        <v>5</v>
      </c>
      <c r="C49" s="4">
        <v>28</v>
      </c>
      <c r="D49" s="6">
        <f>LOOKUP(B49, Product!$A$2:$A$6,Product!$C$2:$C$6)</f>
        <v>95000</v>
      </c>
      <c r="E49" s="6">
        <f>LOOKUP(B49, Product!$A$2:$A$6,Product!$D$2:$D$6)</f>
        <v>78000</v>
      </c>
      <c r="F49" s="6">
        <f>D49-E49</f>
        <v>17000</v>
      </c>
      <c r="G49" s="7">
        <f>C49*F49</f>
        <v>476000</v>
      </c>
    </row>
    <row r="50" spans="1:7" x14ac:dyDescent="0.3">
      <c r="A50" s="3">
        <v>45748</v>
      </c>
      <c r="B50" s="3" t="s">
        <v>6</v>
      </c>
      <c r="C50" s="4">
        <v>30</v>
      </c>
      <c r="D50" s="6">
        <f>LOOKUP(B50, Product!$A$2:$A$6,Product!$C$2:$C$6)</f>
        <v>98000</v>
      </c>
      <c r="E50" s="6">
        <f>LOOKUP(B50, Product!$A$2:$A$6,Product!$D$2:$D$6)</f>
        <v>70000</v>
      </c>
      <c r="F50" s="6">
        <f>D50-E50</f>
        <v>28000</v>
      </c>
      <c r="G50" s="7">
        <f>C50*F50</f>
        <v>840000</v>
      </c>
    </row>
    <row r="51" spans="1:7" x14ac:dyDescent="0.3">
      <c r="A51" s="3">
        <v>45762</v>
      </c>
      <c r="B51" s="3" t="s">
        <v>2</v>
      </c>
      <c r="C51" s="4">
        <v>23</v>
      </c>
      <c r="D51" s="6">
        <f>LOOKUP(B51, Product!$A$2:$A$6,Product!$C$2:$C$6)</f>
        <v>30000</v>
      </c>
      <c r="E51" s="6">
        <f>LOOKUP(B51, Product!$A$2:$A$6,Product!$D$2:$D$6)</f>
        <v>26000</v>
      </c>
      <c r="F51" s="6">
        <f>D51-E51</f>
        <v>4000</v>
      </c>
      <c r="G51" s="7">
        <f>C51*F51</f>
        <v>92000</v>
      </c>
    </row>
    <row r="52" spans="1:7" x14ac:dyDescent="0.3">
      <c r="A52" s="3">
        <v>45778</v>
      </c>
      <c r="B52" s="3" t="s">
        <v>3</v>
      </c>
      <c r="C52" s="4">
        <v>12</v>
      </c>
      <c r="D52" s="6">
        <f>LOOKUP(B52, Product!$A$2:$A$6,Product!$C$2:$C$6)</f>
        <v>78000</v>
      </c>
      <c r="E52" s="6">
        <f>LOOKUP(B52, Product!$A$2:$A$6,Product!$D$2:$D$6)</f>
        <v>56000</v>
      </c>
      <c r="F52" s="6">
        <f>D52-E52</f>
        <v>22000</v>
      </c>
      <c r="G52" s="7">
        <f>C52*F52</f>
        <v>264000</v>
      </c>
    </row>
    <row r="53" spans="1:7" x14ac:dyDescent="0.3">
      <c r="A53" s="3">
        <v>45792</v>
      </c>
      <c r="B53" s="3" t="s">
        <v>4</v>
      </c>
      <c r="C53" s="4">
        <v>16</v>
      </c>
      <c r="D53" s="6">
        <f>LOOKUP(B53, Product!$A$2:$A$6,Product!$C$2:$C$6)</f>
        <v>125000</v>
      </c>
      <c r="E53" s="6">
        <f>LOOKUP(B53, Product!$A$2:$A$6,Product!$D$2:$D$6)</f>
        <v>98000</v>
      </c>
      <c r="F53" s="6">
        <f>D53-E53</f>
        <v>27000</v>
      </c>
      <c r="G53" s="7">
        <f>C53*F53</f>
        <v>432000</v>
      </c>
    </row>
    <row r="54" spans="1:7" x14ac:dyDescent="0.3">
      <c r="A54" s="3">
        <v>45809</v>
      </c>
      <c r="B54" s="3" t="s">
        <v>5</v>
      </c>
      <c r="C54" s="4">
        <v>28</v>
      </c>
      <c r="D54" s="6">
        <f>LOOKUP(B54, Product!$A$2:$A$6,Product!$C$2:$C$6)</f>
        <v>95000</v>
      </c>
      <c r="E54" s="6">
        <f>LOOKUP(B54, Product!$A$2:$A$6,Product!$D$2:$D$6)</f>
        <v>78000</v>
      </c>
      <c r="F54" s="6">
        <f>D54-E54</f>
        <v>17000</v>
      </c>
      <c r="G54" s="7">
        <f>C54*F54</f>
        <v>476000</v>
      </c>
    </row>
    <row r="55" spans="1:7" x14ac:dyDescent="0.3">
      <c r="A55" s="3">
        <v>45823</v>
      </c>
      <c r="B55" s="3" t="s">
        <v>6</v>
      </c>
      <c r="C55" s="4">
        <v>30</v>
      </c>
      <c r="D55" s="6">
        <f>LOOKUP(B55, Product!$A$2:$A$6,Product!$C$2:$C$6)</f>
        <v>98000</v>
      </c>
      <c r="E55" s="6">
        <f>LOOKUP(B55, Product!$A$2:$A$6,Product!$D$2:$D$6)</f>
        <v>70000</v>
      </c>
      <c r="F55" s="6">
        <f>D55-E55</f>
        <v>28000</v>
      </c>
      <c r="G55" s="7">
        <f>C55*F55</f>
        <v>840000</v>
      </c>
    </row>
    <row r="56" spans="1:7" x14ac:dyDescent="0.3">
      <c r="A56" s="3">
        <v>45839</v>
      </c>
      <c r="B56" s="3" t="s">
        <v>2</v>
      </c>
      <c r="C56" s="4">
        <v>23</v>
      </c>
      <c r="D56" s="6">
        <f>LOOKUP(B56, Product!$A$2:$A$6,Product!$C$2:$C$6)</f>
        <v>30000</v>
      </c>
      <c r="E56" s="6">
        <f>LOOKUP(B56, Product!$A$2:$A$6,Product!$D$2:$D$6)</f>
        <v>26000</v>
      </c>
      <c r="F56" s="6">
        <f>D56-E56</f>
        <v>4000</v>
      </c>
      <c r="G56" s="7">
        <f>C56*F56</f>
        <v>92000</v>
      </c>
    </row>
    <row r="57" spans="1:7" x14ac:dyDescent="0.3">
      <c r="A57" s="3">
        <v>45853</v>
      </c>
      <c r="B57" s="3" t="s">
        <v>3</v>
      </c>
      <c r="C57" s="4">
        <v>12</v>
      </c>
      <c r="D57" s="6">
        <f>LOOKUP(B57, Product!$A$2:$A$6,Product!$C$2:$C$6)</f>
        <v>78000</v>
      </c>
      <c r="E57" s="6">
        <f>LOOKUP(B57, Product!$A$2:$A$6,Product!$D$2:$D$6)</f>
        <v>56000</v>
      </c>
      <c r="F57" s="6">
        <f>D57-E57</f>
        <v>22000</v>
      </c>
      <c r="G57" s="7">
        <f>C57*F57</f>
        <v>264000</v>
      </c>
    </row>
    <row r="58" spans="1:7" x14ac:dyDescent="0.3">
      <c r="A58" s="3">
        <v>45870</v>
      </c>
      <c r="B58" s="3" t="s">
        <v>4</v>
      </c>
      <c r="C58" s="4">
        <v>16</v>
      </c>
      <c r="D58" s="6">
        <f>LOOKUP(B58, Product!$A$2:$A$6,Product!$C$2:$C$6)</f>
        <v>125000</v>
      </c>
      <c r="E58" s="6">
        <f>LOOKUP(B58, Product!$A$2:$A$6,Product!$D$2:$D$6)</f>
        <v>98000</v>
      </c>
      <c r="F58" s="6">
        <f>D58-E58</f>
        <v>27000</v>
      </c>
      <c r="G58" s="7">
        <f>C58*F58</f>
        <v>432000</v>
      </c>
    </row>
    <row r="59" spans="1:7" x14ac:dyDescent="0.3">
      <c r="A59" s="3">
        <v>45884</v>
      </c>
      <c r="B59" s="3" t="s">
        <v>5</v>
      </c>
      <c r="C59" s="4">
        <v>28</v>
      </c>
      <c r="D59" s="6">
        <f>LOOKUP(B59, Product!$A$2:$A$6,Product!$C$2:$C$6)</f>
        <v>95000</v>
      </c>
      <c r="E59" s="6">
        <f>LOOKUP(B59, Product!$A$2:$A$6,Product!$D$2:$D$6)</f>
        <v>78000</v>
      </c>
      <c r="F59" s="6">
        <f>D59-E59</f>
        <v>17000</v>
      </c>
      <c r="G59" s="7">
        <f>C59*F59</f>
        <v>476000</v>
      </c>
    </row>
    <row r="60" spans="1:7" x14ac:dyDescent="0.3">
      <c r="A60" s="3">
        <v>45901</v>
      </c>
      <c r="B60" s="3" t="s">
        <v>6</v>
      </c>
      <c r="C60" s="4">
        <v>30</v>
      </c>
      <c r="D60" s="6">
        <f>LOOKUP(B60, Product!$A$2:$A$6,Product!$C$2:$C$6)</f>
        <v>98000</v>
      </c>
      <c r="E60" s="6">
        <f>LOOKUP(B60, Product!$A$2:$A$6,Product!$D$2:$D$6)</f>
        <v>70000</v>
      </c>
      <c r="F60" s="6">
        <f>D60-E60</f>
        <v>28000</v>
      </c>
      <c r="G60" s="7">
        <f>C60*F60</f>
        <v>840000</v>
      </c>
    </row>
    <row r="61" spans="1:7" x14ac:dyDescent="0.3">
      <c r="A61" s="3">
        <v>45915</v>
      </c>
      <c r="B61" s="3" t="s">
        <v>2</v>
      </c>
      <c r="C61" s="4">
        <v>23</v>
      </c>
      <c r="D61" s="6">
        <f>LOOKUP(B61, Product!$A$2:$A$6,Product!$C$2:$C$6)</f>
        <v>30000</v>
      </c>
      <c r="E61" s="6">
        <f>LOOKUP(B61, Product!$A$2:$A$6,Product!$D$2:$D$6)</f>
        <v>26000</v>
      </c>
      <c r="F61" s="6">
        <f>D61-E61</f>
        <v>4000</v>
      </c>
      <c r="G61" s="7">
        <f>C61*F61</f>
        <v>92000</v>
      </c>
    </row>
    <row r="62" spans="1:7" x14ac:dyDescent="0.3">
      <c r="A62" s="3">
        <v>45931</v>
      </c>
      <c r="B62" s="3" t="s">
        <v>3</v>
      </c>
      <c r="C62" s="4">
        <v>12</v>
      </c>
      <c r="D62" s="6">
        <f>LOOKUP(B62, Product!$A$2:$A$6,Product!$C$2:$C$6)</f>
        <v>78000</v>
      </c>
      <c r="E62" s="6">
        <f>LOOKUP(B62, Product!$A$2:$A$6,Product!$D$2:$D$6)</f>
        <v>56000</v>
      </c>
      <c r="F62" s="6">
        <f>D62-E62</f>
        <v>22000</v>
      </c>
      <c r="G62" s="7">
        <f>C62*F62</f>
        <v>264000</v>
      </c>
    </row>
    <row r="63" spans="1:7" x14ac:dyDescent="0.3">
      <c r="A63" s="3">
        <v>45945</v>
      </c>
      <c r="B63" s="3" t="s">
        <v>4</v>
      </c>
      <c r="C63" s="4">
        <v>30</v>
      </c>
      <c r="D63" s="6">
        <f>LOOKUP(B63, Product!$A$2:$A$6,Product!$C$2:$C$6)</f>
        <v>125000</v>
      </c>
      <c r="E63" s="6">
        <f>LOOKUP(B63, Product!$A$2:$A$6,Product!$D$2:$D$6)</f>
        <v>98000</v>
      </c>
      <c r="F63" s="6">
        <f>D63-E63</f>
        <v>27000</v>
      </c>
      <c r="G63" s="7">
        <f>C63*F63</f>
        <v>810000</v>
      </c>
    </row>
    <row r="64" spans="1:7" x14ac:dyDescent="0.3">
      <c r="A64" s="3">
        <v>45962</v>
      </c>
      <c r="B64" s="3" t="s">
        <v>5</v>
      </c>
      <c r="C64" s="4">
        <v>21</v>
      </c>
      <c r="D64" s="6">
        <f>LOOKUP(B64, Product!$A$2:$A$6,Product!$C$2:$C$6)</f>
        <v>95000</v>
      </c>
      <c r="E64" s="6">
        <f>LOOKUP(B64, Product!$A$2:$A$6,Product!$D$2:$D$6)</f>
        <v>78000</v>
      </c>
      <c r="F64" s="6">
        <f>D64-E64</f>
        <v>17000</v>
      </c>
      <c r="G64" s="7">
        <f>C64*F64</f>
        <v>357000</v>
      </c>
    </row>
    <row r="65" spans="1:7" x14ac:dyDescent="0.3">
      <c r="A65" s="3">
        <v>45976</v>
      </c>
      <c r="B65" s="3" t="s">
        <v>6</v>
      </c>
      <c r="C65" s="4">
        <v>23</v>
      </c>
      <c r="D65" s="6">
        <f>LOOKUP(B65, Product!$A$2:$A$6,Product!$C$2:$C$6)</f>
        <v>98000</v>
      </c>
      <c r="E65" s="6">
        <f>LOOKUP(B65, Product!$A$2:$A$6,Product!$D$2:$D$6)</f>
        <v>70000</v>
      </c>
      <c r="F65" s="6">
        <f>D65-E65</f>
        <v>28000</v>
      </c>
      <c r="G65" s="7">
        <f>C65*F65</f>
        <v>644000</v>
      </c>
    </row>
    <row r="66" spans="1:7" x14ac:dyDescent="0.3">
      <c r="A66" s="3">
        <v>45992</v>
      </c>
      <c r="B66" s="3" t="s">
        <v>2</v>
      </c>
      <c r="C66" s="4">
        <v>32</v>
      </c>
      <c r="D66" s="6">
        <f>LOOKUP(B66, Product!$A$2:$A$6,Product!$C$2:$C$6)</f>
        <v>30000</v>
      </c>
      <c r="E66" s="6">
        <f>LOOKUP(B66, Product!$A$2:$A$6,Product!$D$2:$D$6)</f>
        <v>26000</v>
      </c>
      <c r="F66" s="6">
        <f>D66-E66</f>
        <v>4000</v>
      </c>
      <c r="G66" s="7">
        <f>C66*F66</f>
        <v>128000</v>
      </c>
    </row>
    <row r="67" spans="1:7" x14ac:dyDescent="0.3">
      <c r="A67" s="3">
        <v>46006</v>
      </c>
      <c r="B67" s="3" t="s">
        <v>3</v>
      </c>
      <c r="C67" s="4">
        <v>34</v>
      </c>
      <c r="D67" s="6">
        <f>LOOKUP(B67, Product!$A$2:$A$6,Product!$C$2:$C$6)</f>
        <v>78000</v>
      </c>
      <c r="E67" s="6">
        <f>LOOKUP(B67, Product!$A$2:$A$6,Product!$D$2:$D$6)</f>
        <v>56000</v>
      </c>
      <c r="F67" s="6">
        <f>D67-E67</f>
        <v>22000</v>
      </c>
      <c r="G67" s="7">
        <f>C67*F67</f>
        <v>748000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" sqref="D1"/>
    </sheetView>
  </sheetViews>
  <sheetFormatPr defaultRowHeight="14.4" x14ac:dyDescent="0.3"/>
  <cols>
    <col min="1" max="1" width="9.21875" bestFit="1" customWidth="1"/>
    <col min="2" max="2" width="8.77734375" bestFit="1" customWidth="1"/>
    <col min="3" max="3" width="11.88671875" style="5" bestFit="1" customWidth="1"/>
    <col min="4" max="4" width="10.77734375" style="5" bestFit="1" customWidth="1"/>
  </cols>
  <sheetData>
    <row r="1" spans="1:4" x14ac:dyDescent="0.3">
      <c r="A1" t="s">
        <v>1</v>
      </c>
      <c r="B1" t="s">
        <v>7</v>
      </c>
      <c r="C1" s="5" t="s">
        <v>13</v>
      </c>
      <c r="D1" s="5" t="s">
        <v>14</v>
      </c>
    </row>
    <row r="2" spans="1:4" x14ac:dyDescent="0.3">
      <c r="A2" s="1" t="s">
        <v>2</v>
      </c>
      <c r="B2" t="s">
        <v>8</v>
      </c>
      <c r="C2" s="5">
        <v>30000</v>
      </c>
      <c r="D2" s="5">
        <v>26000</v>
      </c>
    </row>
    <row r="3" spans="1:4" x14ac:dyDescent="0.3">
      <c r="A3" s="1" t="s">
        <v>3</v>
      </c>
      <c r="B3" t="s">
        <v>9</v>
      </c>
      <c r="C3" s="5">
        <v>78000</v>
      </c>
      <c r="D3" s="5">
        <v>56000</v>
      </c>
    </row>
    <row r="4" spans="1:4" x14ac:dyDescent="0.3">
      <c r="A4" s="1" t="s">
        <v>4</v>
      </c>
      <c r="B4" t="s">
        <v>10</v>
      </c>
      <c r="C4" s="5">
        <v>125000</v>
      </c>
      <c r="D4" s="5">
        <v>98000</v>
      </c>
    </row>
    <row r="5" spans="1:4" x14ac:dyDescent="0.3">
      <c r="A5" s="1" t="s">
        <v>5</v>
      </c>
      <c r="B5" t="s">
        <v>11</v>
      </c>
      <c r="C5" s="5">
        <v>95000</v>
      </c>
      <c r="D5" s="5">
        <v>78000</v>
      </c>
    </row>
    <row r="6" spans="1:4" x14ac:dyDescent="0.3">
      <c r="A6" s="1" t="s">
        <v>6</v>
      </c>
      <c r="B6" t="s">
        <v>12</v>
      </c>
      <c r="C6" s="5">
        <v>98000</v>
      </c>
      <c r="D6" s="5">
        <v>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5" sqref="C15"/>
    </sheetView>
  </sheetViews>
  <sheetFormatPr defaultRowHeight="14.4" x14ac:dyDescent="0.3"/>
  <cols>
    <col min="1" max="1" width="12.21875" bestFit="1" customWidth="1"/>
    <col min="2" max="2" width="14.77734375" style="6" customWidth="1"/>
    <col min="3" max="3" width="14.5546875" style="6" customWidth="1"/>
  </cols>
  <sheetData>
    <row r="1" spans="1:3" x14ac:dyDescent="0.3">
      <c r="A1" t="s">
        <v>18</v>
      </c>
      <c r="B1" s="6" t="s">
        <v>19</v>
      </c>
      <c r="C1" s="6" t="s">
        <v>20</v>
      </c>
    </row>
    <row r="2" spans="1:3" x14ac:dyDescent="0.3">
      <c r="A2" t="s">
        <v>22</v>
      </c>
      <c r="B2" s="6">
        <v>5000000</v>
      </c>
      <c r="C2" s="6">
        <f>SUM(Sales!G2:G25)</f>
        <v>4815000</v>
      </c>
    </row>
    <row r="3" spans="1:3" x14ac:dyDescent="0.3">
      <c r="A3" t="s">
        <v>23</v>
      </c>
      <c r="B3" s="6">
        <v>6500000</v>
      </c>
      <c r="C3" s="6">
        <f>SUM(Sales!G26:G49)</f>
        <v>6537000</v>
      </c>
    </row>
    <row r="4" spans="1:3" x14ac:dyDescent="0.3">
      <c r="A4" t="s">
        <v>24</v>
      </c>
      <c r="B4" s="6">
        <v>10000000</v>
      </c>
      <c r="C4" s="6">
        <f>SUM(Sales!G50:G67)</f>
        <v>8091000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2025-12-05T10:14:27Z</dcterms:created>
  <dcterms:modified xsi:type="dcterms:W3CDTF">2025-12-05T12:24:18Z</dcterms:modified>
</cp:coreProperties>
</file>